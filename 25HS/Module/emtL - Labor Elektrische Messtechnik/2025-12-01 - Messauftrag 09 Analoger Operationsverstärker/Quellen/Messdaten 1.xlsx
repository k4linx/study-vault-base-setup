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n\Downloads\"/>
    </mc:Choice>
  </mc:AlternateContent>
  <xr:revisionPtr revIDLastSave="0" documentId="13_ncr:1_{29D78326-8FA4-4250-91FE-A0DB99C7271A}" xr6:coauthVersionLast="47" xr6:coauthVersionMax="47" xr10:uidLastSave="{00000000-0000-0000-0000-000000000000}"/>
  <bookViews>
    <workbookView xWindow="-28920" yWindow="1725" windowWidth="29040" windowHeight="15720" xr2:uid="{C783317A-2E40-4842-B7FE-CEE15E7DE3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32" i="1"/>
  <c r="G80" i="1"/>
  <c r="G81" i="1"/>
  <c r="G82" i="1"/>
  <c r="G83" i="1"/>
  <c r="G84" i="1"/>
  <c r="G85" i="1"/>
  <c r="G86" i="1"/>
  <c r="G87" i="1"/>
  <c r="G88" i="1"/>
  <c r="G89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6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5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5" i="1"/>
</calcChain>
</file>

<file path=xl/sharedStrings.xml><?xml version="1.0" encoding="utf-8"?>
<sst xmlns="http://schemas.openxmlformats.org/spreadsheetml/2006/main" count="29" uniqueCount="22">
  <si>
    <t>Versuch 1</t>
  </si>
  <si>
    <t>Frequenz (Hz)</t>
  </si>
  <si>
    <t>U1 [V]</t>
  </si>
  <si>
    <t>U2 [V]</t>
  </si>
  <si>
    <t>R1 (kΩ)</t>
  </si>
  <si>
    <t>R2 (kΩ)</t>
  </si>
  <si>
    <t>R2/R1</t>
  </si>
  <si>
    <t>invertierende Verstärkerschaltung</t>
  </si>
  <si>
    <t>nichtinvertierende Verstärkerschaltung</t>
  </si>
  <si>
    <t>Versuch 2</t>
  </si>
  <si>
    <t>3. f=1kHz, U1 erhöhen, ab wann Verzerrungen?</t>
  </si>
  <si>
    <t>Vergleich</t>
  </si>
  <si>
    <t>Versuch 3</t>
  </si>
  <si>
    <t>Schaltung</t>
  </si>
  <si>
    <t>Invertierend (R2=1kΩ)</t>
  </si>
  <si>
    <t>Invertierend (R2=10kΩ)</t>
  </si>
  <si>
    <t>nichtinvertierend (R2=1kΩ)</t>
  </si>
  <si>
    <t>nichtinvertierend (R2=10kΩ)</t>
  </si>
  <si>
    <t>U2/U1 [dB]</t>
  </si>
  <si>
    <t>Verstärkung [dB]</t>
  </si>
  <si>
    <t>Phasenlage [°]</t>
  </si>
  <si>
    <t>Ab 18Vpp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</si>
</sst>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/>
    <xf numFmtId="0" fontId="2" fillId="3" borderId="2" xfId="0" applyFont="1" applyFill="1" applyBorder="1"/>
    <xf numFmtId="0" fontId="2" fillId="2" borderId="2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1" fontId="1" fillId="2" borderId="1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4" borderId="3" xfId="0" applyFont="1" applyFill="1" applyBorder="1"/>
    <xf numFmtId="1" fontId="1" fillId="2" borderId="3" xfId="0" applyNumberFormat="1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AC2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Tabelle1!$A$2</c:f>
          <c:strCache>
            <c:ptCount val="1"/>
            <c:pt idx="0">
              <c:v>invertierende Verstärkerschaltung</c:v>
            </c:pt>
          </c:strCache>
        </c:strRef>
      </c:tx>
      <c:layout>
        <c:manualLayout>
          <c:xMode val="edge"/>
          <c:yMode val="edge"/>
          <c:x val="0.27209677644399588"/>
          <c:y val="1.9575856443719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952875988540651E-2"/>
          <c:y val="8.975196612220207E-2"/>
          <c:w val="0.86556999982845284"/>
          <c:h val="0.79148177258241992"/>
        </c:manualLayout>
      </c:layout>
      <c:scatterChart>
        <c:scatterStyle val="lineMarker"/>
        <c:varyColors val="0"/>
        <c:ser>
          <c:idx val="0"/>
          <c:order val="0"/>
          <c:tx>
            <c:v>R2=1k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Tabelle1!$A$5:$A$18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30</c:v>
                </c:pt>
                <c:pt idx="4">
                  <c:v>100</c:v>
                </c:pt>
                <c:pt idx="5">
                  <c:v>300</c:v>
                </c:pt>
                <c:pt idx="6">
                  <c:v>1000</c:v>
                </c:pt>
                <c:pt idx="7">
                  <c:v>3000</c:v>
                </c:pt>
                <c:pt idx="8">
                  <c:v>10000</c:v>
                </c:pt>
                <c:pt idx="9">
                  <c:v>30000</c:v>
                </c:pt>
                <c:pt idx="10">
                  <c:v>100000</c:v>
                </c:pt>
                <c:pt idx="11">
                  <c:v>300000</c:v>
                </c:pt>
                <c:pt idx="12">
                  <c:v>1000000</c:v>
                </c:pt>
                <c:pt idx="13">
                  <c:v>10000000</c:v>
                </c:pt>
              </c:numCache>
            </c:numRef>
          </c:xVal>
          <c:yVal>
            <c:numRef>
              <c:f>Tabelle1!$G$5:$G$18</c:f>
              <c:numCache>
                <c:formatCode>0</c:formatCode>
                <c:ptCount val="14"/>
                <c:pt idx="0">
                  <c:v>-0.15019203557491032</c:v>
                </c:pt>
                <c:pt idx="1">
                  <c:v>-0.36577571424619537</c:v>
                </c:pt>
                <c:pt idx="2">
                  <c:v>-0.36577571424619537</c:v>
                </c:pt>
                <c:pt idx="3">
                  <c:v>-0.35823178617404333</c:v>
                </c:pt>
                <c:pt idx="4">
                  <c:v>-9.0010024533528438E-2</c:v>
                </c:pt>
                <c:pt idx="5">
                  <c:v>-0.31656263241994725</c:v>
                </c:pt>
                <c:pt idx="6">
                  <c:v>-0.45486254277119531</c:v>
                </c:pt>
                <c:pt idx="7">
                  <c:v>-0.33887051058133061</c:v>
                </c:pt>
                <c:pt idx="8">
                  <c:v>-0.46459681436949662</c:v>
                </c:pt>
                <c:pt idx="9">
                  <c:v>-0.55460683890302509</c:v>
                </c:pt>
                <c:pt idx="10">
                  <c:v>8.6427475652851568E-2</c:v>
                </c:pt>
                <c:pt idx="11">
                  <c:v>-0.62387040365887891</c:v>
                </c:pt>
                <c:pt idx="12">
                  <c:v>-1.8101504279785183</c:v>
                </c:pt>
                <c:pt idx="13">
                  <c:v>-28.714571391228748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4-4DC4-944D-C9885A4BEAC8}"/>
            </c:ext>
          </c:extLst>
        </c:ser>
        <c:ser>
          <c:idx val="1"/>
          <c:order val="1"/>
          <c:tx>
            <c:v>R2=10k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Tabelle1!$A$19:$A$32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30</c:v>
                </c:pt>
                <c:pt idx="4">
                  <c:v>100</c:v>
                </c:pt>
                <c:pt idx="5">
                  <c:v>300</c:v>
                </c:pt>
                <c:pt idx="6">
                  <c:v>1000</c:v>
                </c:pt>
                <c:pt idx="7">
                  <c:v>3000</c:v>
                </c:pt>
                <c:pt idx="8">
                  <c:v>10000</c:v>
                </c:pt>
                <c:pt idx="9">
                  <c:v>30000</c:v>
                </c:pt>
                <c:pt idx="10">
                  <c:v>100000</c:v>
                </c:pt>
                <c:pt idx="11">
                  <c:v>300000</c:v>
                </c:pt>
                <c:pt idx="12">
                  <c:v>1000000</c:v>
                </c:pt>
                <c:pt idx="13">
                  <c:v>10000000</c:v>
                </c:pt>
              </c:numCache>
            </c:numRef>
          </c:xVal>
          <c:yVal>
            <c:numRef>
              <c:f>Tabelle1!$G$19:$G$32</c:f>
              <c:numCache>
                <c:formatCode>0</c:formatCode>
                <c:ptCount val="14"/>
                <c:pt idx="0">
                  <c:v>20.572903628990602</c:v>
                </c:pt>
                <c:pt idx="1">
                  <c:v>20.600580411743195</c:v>
                </c:pt>
                <c:pt idx="2">
                  <c:v>20.607247822557628</c:v>
                </c:pt>
                <c:pt idx="3">
                  <c:v>20.539199447167213</c:v>
                </c:pt>
                <c:pt idx="4">
                  <c:v>20.827853703164504</c:v>
                </c:pt>
                <c:pt idx="5">
                  <c:v>20.523054372029765</c:v>
                </c:pt>
                <c:pt idx="6">
                  <c:v>20.526578774446985</c:v>
                </c:pt>
                <c:pt idx="7">
                  <c:v>20.938621065779614</c:v>
                </c:pt>
                <c:pt idx="8">
                  <c:v>20.591364612854175</c:v>
                </c:pt>
                <c:pt idx="9">
                  <c:v>20.306818288174334</c:v>
                </c:pt>
                <c:pt idx="10">
                  <c:v>19.705534863585875</c:v>
                </c:pt>
                <c:pt idx="11">
                  <c:v>15.256071170849781</c:v>
                </c:pt>
                <c:pt idx="12">
                  <c:v>5.4600254412747526</c:v>
                </c:pt>
                <c:pt idx="13" formatCode="0.000">
                  <c:v>-17.692131625958609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94-4DC4-944D-C9885A4BE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323647"/>
        <c:axId val="1738325087"/>
      </c:scatterChart>
      <c:valAx>
        <c:axId val="1738323647"/>
        <c:scaling>
          <c:logBase val="10"/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Tabelle1!$A$4</c:f>
              <c:strCache>
                <c:ptCount val="1"/>
                <c:pt idx="0">
                  <c:v>Frequenz (Hz)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325087"/>
        <c:crosses val="autoZero"/>
        <c:crossBetween val="midCat"/>
      </c:valAx>
      <c:valAx>
        <c:axId val="173832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Tabelle1!$G$4</c:f>
              <c:strCache>
                <c:ptCount val="1"/>
                <c:pt idx="0">
                  <c:v>Verstärkung [dB]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32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Tabelle1!$A$59</c:f>
          <c:strCache>
            <c:ptCount val="1"/>
            <c:pt idx="0">
              <c:v>nichtinvertierende Verstärkerschaltung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R2=1K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Tabelle1!$A$62:$A$75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30</c:v>
                </c:pt>
                <c:pt idx="4">
                  <c:v>100</c:v>
                </c:pt>
                <c:pt idx="5">
                  <c:v>300</c:v>
                </c:pt>
                <c:pt idx="6">
                  <c:v>1000</c:v>
                </c:pt>
                <c:pt idx="7">
                  <c:v>3000</c:v>
                </c:pt>
                <c:pt idx="8">
                  <c:v>10000</c:v>
                </c:pt>
                <c:pt idx="9">
                  <c:v>30000</c:v>
                </c:pt>
                <c:pt idx="10">
                  <c:v>100000</c:v>
                </c:pt>
                <c:pt idx="11">
                  <c:v>300000</c:v>
                </c:pt>
                <c:pt idx="12">
                  <c:v>1000000</c:v>
                </c:pt>
                <c:pt idx="13">
                  <c:v>10000000</c:v>
                </c:pt>
              </c:numCache>
            </c:numRef>
          </c:xVal>
          <c:yVal>
            <c:numRef>
              <c:f>Tabelle1!$G$62:$G$75</c:f>
              <c:numCache>
                <c:formatCode>0</c:formatCode>
                <c:ptCount val="14"/>
                <c:pt idx="0">
                  <c:v>5.7111461801554757</c:v>
                </c:pt>
                <c:pt idx="1">
                  <c:v>5.6286887920120101</c:v>
                </c:pt>
                <c:pt idx="2">
                  <c:v>5.6286887920120101</c:v>
                </c:pt>
                <c:pt idx="3">
                  <c:v>5.6731179918911714</c:v>
                </c:pt>
                <c:pt idx="4">
                  <c:v>5.6731179918911714</c:v>
                </c:pt>
                <c:pt idx="5">
                  <c:v>5.6696071229516685</c:v>
                </c:pt>
                <c:pt idx="6">
                  <c:v>5.6660245740709918</c:v>
                </c:pt>
                <c:pt idx="7">
                  <c:v>5.7142647515975087</c:v>
                </c:pt>
                <c:pt idx="8">
                  <c:v>5.6731179918911714</c:v>
                </c:pt>
                <c:pt idx="9">
                  <c:v>5.57959709841814</c:v>
                </c:pt>
                <c:pt idx="10">
                  <c:v>5.2360674452452773</c:v>
                </c:pt>
                <c:pt idx="11">
                  <c:v>5.3016489695276654</c:v>
                </c:pt>
                <c:pt idx="12">
                  <c:v>3.3198186430271086</c:v>
                </c:pt>
                <c:pt idx="13">
                  <c:v>-12.678147171599141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2-449F-A450-AD7E033958F5}"/>
            </c:ext>
          </c:extLst>
        </c:ser>
        <c:ser>
          <c:idx val="1"/>
          <c:order val="1"/>
          <c:tx>
            <c:v>R2=10k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Tabelle1!$A$76:$A$89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30</c:v>
                </c:pt>
                <c:pt idx="4">
                  <c:v>100</c:v>
                </c:pt>
                <c:pt idx="5">
                  <c:v>300</c:v>
                </c:pt>
                <c:pt idx="6">
                  <c:v>1000</c:v>
                </c:pt>
                <c:pt idx="7">
                  <c:v>3000</c:v>
                </c:pt>
                <c:pt idx="8">
                  <c:v>10000</c:v>
                </c:pt>
                <c:pt idx="9">
                  <c:v>30000</c:v>
                </c:pt>
                <c:pt idx="10">
                  <c:v>100000</c:v>
                </c:pt>
                <c:pt idx="11">
                  <c:v>300000</c:v>
                </c:pt>
                <c:pt idx="12">
                  <c:v>1000000</c:v>
                </c:pt>
                <c:pt idx="13">
                  <c:v>10000000</c:v>
                </c:pt>
              </c:numCache>
            </c:numRef>
          </c:xVal>
          <c:yVal>
            <c:numRef>
              <c:f>Tabelle1!$G$76:$G$89</c:f>
              <c:numCache>
                <c:formatCode>0</c:formatCode>
                <c:ptCount val="14"/>
                <c:pt idx="0">
                  <c:v>20.506117305295405</c:v>
                </c:pt>
                <c:pt idx="1">
                  <c:v>20.506117305295405</c:v>
                </c:pt>
                <c:pt idx="2">
                  <c:v>20.549817950954555</c:v>
                </c:pt>
                <c:pt idx="3">
                  <c:v>20.54174180937963</c:v>
                </c:pt>
                <c:pt idx="4">
                  <c:v>20.571425053850753</c:v>
                </c:pt>
                <c:pt idx="5">
                  <c:v>20.607532806714946</c:v>
                </c:pt>
                <c:pt idx="6">
                  <c:v>20.47327836395587</c:v>
                </c:pt>
                <c:pt idx="7">
                  <c:v>20.585215310198702</c:v>
                </c:pt>
                <c:pt idx="8">
                  <c:v>20.476860912836546</c:v>
                </c:pt>
                <c:pt idx="9">
                  <c:v>20.235222217715805</c:v>
                </c:pt>
                <c:pt idx="10">
                  <c:v>19.156046404110903</c:v>
                </c:pt>
                <c:pt idx="11">
                  <c:v>15.157656516209748</c:v>
                </c:pt>
                <c:pt idx="12">
                  <c:v>5.0593710038748361</c:v>
                </c:pt>
                <c:pt idx="13">
                  <c:v>-9.8419682137863038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2-449F-A450-AD7E03395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323647"/>
        <c:axId val="1738325087"/>
      </c:scatterChart>
      <c:valAx>
        <c:axId val="1738323647"/>
        <c:scaling>
          <c:logBase val="10"/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Tabelle1!$A$61</c:f>
              <c:strCache>
                <c:ptCount val="1"/>
                <c:pt idx="0">
                  <c:v>Frequenz (Hz)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325087"/>
        <c:crosses val="autoZero"/>
        <c:crossBetween val="midCat"/>
      </c:valAx>
      <c:valAx>
        <c:axId val="173832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Tabelle1!$G$61</c:f>
              <c:strCache>
                <c:ptCount val="1"/>
                <c:pt idx="0">
                  <c:v>Verstärkung [dB]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32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2</xdr:row>
      <xdr:rowOff>66674</xdr:rowOff>
    </xdr:from>
    <xdr:to>
      <xdr:col>16</xdr:col>
      <xdr:colOff>813955</xdr:colOff>
      <xdr:row>27</xdr:row>
      <xdr:rowOff>86591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3E41776-AE77-47FF-A06D-BB4BC45F6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102508</xdr:colOff>
      <xdr:row>59</xdr:row>
      <xdr:rowOff>116115</xdr:rowOff>
    </xdr:from>
    <xdr:to>
      <xdr:col>16</xdr:col>
      <xdr:colOff>769258</xdr:colOff>
      <xdr:row>86</xdr:row>
      <xdr:rowOff>40820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33B6FCB-69E3-481F-90D6-8BFC46DB6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F5A4-B93E-4707-B4CB-E2A88FD71AC2}">
  <dimension ref="A2:Z115"/>
  <sheetViews>
    <sheetView tabSelected="1" view="pageLayout" zoomScaleNormal="70" zoomScaleSheetLayoutView="115" workbookViewId="0">
      <selection activeCell="K2" sqref="K2:Q114"/>
    </sheetView>
  </sheetViews>
  <sheetFormatPr baseColWidth="10" defaultRowHeight="12" x14ac:dyDescent="0.3"/>
  <cols>
    <col min="1" max="1" width="10.36328125" style="1" customWidth="1"/>
    <col min="2" max="6" width="6.1796875" style="1" customWidth="1"/>
    <col min="7" max="7" width="13.26953125" style="1" customWidth="1"/>
    <col min="8" max="8" width="3.6328125" style="1" customWidth="1"/>
    <col min="9" max="17" width="11.54296875" style="1"/>
    <col min="18" max="18" width="11" style="1" customWidth="1"/>
    <col min="19" max="19" width="16.90625" style="1" customWidth="1"/>
    <col min="20" max="20" width="16.26953125" style="1" customWidth="1"/>
    <col min="21" max="21" width="19.36328125" style="1" customWidth="1"/>
    <col min="22" max="22" width="20" style="1" customWidth="1"/>
    <col min="23" max="26" width="11.54296875" style="1"/>
    <col min="27" max="16384" width="10.90625" style="4"/>
  </cols>
  <sheetData>
    <row r="2" spans="1:22" x14ac:dyDescent="0.3">
      <c r="A2" s="2" t="s">
        <v>7</v>
      </c>
      <c r="G2" s="3" t="s">
        <v>0</v>
      </c>
      <c r="R2" s="2" t="s">
        <v>11</v>
      </c>
      <c r="V2" s="3" t="s">
        <v>12</v>
      </c>
    </row>
    <row r="4" spans="1:22" x14ac:dyDescent="0.3">
      <c r="A4" s="5" t="s">
        <v>1</v>
      </c>
      <c r="B4" s="5" t="s">
        <v>4</v>
      </c>
      <c r="C4" s="5" t="s">
        <v>5</v>
      </c>
      <c r="D4" s="5" t="s">
        <v>6</v>
      </c>
      <c r="E4" s="5" t="s">
        <v>2</v>
      </c>
      <c r="F4" s="5" t="s">
        <v>3</v>
      </c>
      <c r="G4" s="5" t="s">
        <v>19</v>
      </c>
      <c r="R4" s="6" t="s">
        <v>13</v>
      </c>
      <c r="S4" s="6" t="s">
        <v>14</v>
      </c>
      <c r="T4" s="6" t="s">
        <v>15</v>
      </c>
      <c r="U4" s="6" t="s">
        <v>16</v>
      </c>
      <c r="V4" s="6" t="s">
        <v>17</v>
      </c>
    </row>
    <row r="5" spans="1:22" x14ac:dyDescent="0.3">
      <c r="A5" s="7">
        <v>1</v>
      </c>
      <c r="B5" s="7">
        <v>1</v>
      </c>
      <c r="C5" s="7">
        <v>1</v>
      </c>
      <c r="D5" s="7">
        <f>C5/B5</f>
        <v>1</v>
      </c>
      <c r="E5" s="7">
        <v>8.7499999999999994E-2</v>
      </c>
      <c r="F5" s="8">
        <v>8.5999999999999993E-2</v>
      </c>
      <c r="G5" s="18">
        <f>IF(OR(F5="",F5=0),"-",20*LOG10(F5/E5))</f>
        <v>-0.15019203557491032</v>
      </c>
      <c r="R5" s="6" t="s">
        <v>18</v>
      </c>
      <c r="S5" s="10">
        <v>0</v>
      </c>
      <c r="T5" s="10">
        <v>21</v>
      </c>
      <c r="U5" s="10">
        <v>6</v>
      </c>
      <c r="V5" s="10">
        <v>20</v>
      </c>
    </row>
    <row r="6" spans="1:22" x14ac:dyDescent="0.3">
      <c r="A6" s="7">
        <v>3</v>
      </c>
      <c r="B6" s="7">
        <v>1</v>
      </c>
      <c r="C6" s="7">
        <v>1</v>
      </c>
      <c r="D6" s="7">
        <f t="shared" ref="D6:D32" si="0">C6/B6</f>
        <v>1</v>
      </c>
      <c r="E6" s="7">
        <v>9.7000000000000003E-2</v>
      </c>
      <c r="F6" s="8">
        <v>9.2999999999999999E-2</v>
      </c>
      <c r="G6" s="18">
        <f>IF(OR(F6="",F6=0),"-",20*LOG10(F6/E6))</f>
        <v>-0.36577571424619537</v>
      </c>
      <c r="R6" s="6" t="s">
        <v>20</v>
      </c>
      <c r="S6" s="10">
        <v>180</v>
      </c>
      <c r="T6" s="10">
        <v>180</v>
      </c>
      <c r="U6" s="10">
        <v>0</v>
      </c>
      <c r="V6" s="10">
        <v>0</v>
      </c>
    </row>
    <row r="7" spans="1:22" x14ac:dyDescent="0.3">
      <c r="A7" s="7">
        <v>10</v>
      </c>
      <c r="B7" s="7">
        <v>1</v>
      </c>
      <c r="C7" s="7">
        <v>1</v>
      </c>
      <c r="D7" s="7">
        <f t="shared" si="0"/>
        <v>1</v>
      </c>
      <c r="E7" s="7">
        <v>9.7000000000000003E-2</v>
      </c>
      <c r="F7" s="8">
        <v>9.2999999999999999E-2</v>
      </c>
      <c r="G7" s="18">
        <f t="shared" ref="G7:G32" si="1">IF(OR(F7="",F7=0),"-",20*LOG10(F7/E7))</f>
        <v>-0.36577571424619537</v>
      </c>
    </row>
    <row r="8" spans="1:22" x14ac:dyDescent="0.3">
      <c r="A8" s="7">
        <v>30</v>
      </c>
      <c r="B8" s="7">
        <v>1</v>
      </c>
      <c r="C8" s="7">
        <v>1</v>
      </c>
      <c r="D8" s="7">
        <f t="shared" si="0"/>
        <v>1</v>
      </c>
      <c r="E8" s="7">
        <v>9.9000000000000005E-2</v>
      </c>
      <c r="F8" s="8">
        <v>9.5000000000000001E-2</v>
      </c>
      <c r="G8" s="18">
        <f t="shared" si="1"/>
        <v>-0.35823178617404333</v>
      </c>
    </row>
    <row r="9" spans="1:22" x14ac:dyDescent="0.3">
      <c r="A9" s="7">
        <v>100</v>
      </c>
      <c r="B9" s="7">
        <v>1</v>
      </c>
      <c r="C9" s="7">
        <v>1</v>
      </c>
      <c r="D9" s="7">
        <f t="shared" si="0"/>
        <v>1</v>
      </c>
      <c r="E9" s="7">
        <v>9.7000000000000003E-2</v>
      </c>
      <c r="F9" s="8">
        <v>9.6000000000000002E-2</v>
      </c>
      <c r="G9" s="18">
        <f t="shared" si="1"/>
        <v>-9.0010024533528438E-2</v>
      </c>
    </row>
    <row r="10" spans="1:22" x14ac:dyDescent="0.3">
      <c r="A10" s="7">
        <v>300</v>
      </c>
      <c r="B10" s="7">
        <v>1</v>
      </c>
      <c r="C10" s="7">
        <v>1</v>
      </c>
      <c r="D10" s="7">
        <f t="shared" si="0"/>
        <v>1</v>
      </c>
      <c r="E10" s="7">
        <v>9.5000000000000001E-2</v>
      </c>
      <c r="F10" s="8">
        <v>9.1600000000000001E-2</v>
      </c>
      <c r="G10" s="18">
        <f t="shared" si="1"/>
        <v>-0.31656263241994725</v>
      </c>
    </row>
    <row r="11" spans="1:22" x14ac:dyDescent="0.3">
      <c r="A11" s="7">
        <v>1000</v>
      </c>
      <c r="B11" s="7">
        <v>1</v>
      </c>
      <c r="C11" s="7">
        <v>1</v>
      </c>
      <c r="D11" s="7">
        <f t="shared" si="0"/>
        <v>1</v>
      </c>
      <c r="E11" s="7">
        <v>9.8000000000000004E-2</v>
      </c>
      <c r="F11" s="8">
        <v>9.2999999999999999E-2</v>
      </c>
      <c r="G11" s="18">
        <f t="shared" si="1"/>
        <v>-0.45486254277119531</v>
      </c>
    </row>
    <row r="12" spans="1:22" x14ac:dyDescent="0.3">
      <c r="A12" s="7">
        <v>3000</v>
      </c>
      <c r="B12" s="7">
        <v>1</v>
      </c>
      <c r="C12" s="7">
        <v>1</v>
      </c>
      <c r="D12" s="7">
        <f t="shared" si="0"/>
        <v>1</v>
      </c>
      <c r="E12" s="7">
        <v>9.6699999999999994E-2</v>
      </c>
      <c r="F12" s="8">
        <v>9.2999999999999999E-2</v>
      </c>
      <c r="G12" s="18">
        <f t="shared" si="1"/>
        <v>-0.33887051058133061</v>
      </c>
    </row>
    <row r="13" spans="1:22" x14ac:dyDescent="0.3">
      <c r="A13" s="7">
        <v>10000</v>
      </c>
      <c r="B13" s="7">
        <v>1</v>
      </c>
      <c r="C13" s="7">
        <v>1</v>
      </c>
      <c r="D13" s="7">
        <f t="shared" si="0"/>
        <v>1</v>
      </c>
      <c r="E13" s="7">
        <v>9.6000000000000002E-2</v>
      </c>
      <c r="F13" s="8">
        <v>9.0999999999999998E-2</v>
      </c>
      <c r="G13" s="18">
        <f t="shared" si="1"/>
        <v>-0.46459681436949662</v>
      </c>
    </row>
    <row r="14" spans="1:22" x14ac:dyDescent="0.3">
      <c r="A14" s="7">
        <v>30000</v>
      </c>
      <c r="B14" s="7">
        <v>1</v>
      </c>
      <c r="C14" s="7">
        <v>1</v>
      </c>
      <c r="D14" s="7">
        <f t="shared" si="0"/>
        <v>1</v>
      </c>
      <c r="E14" s="7">
        <v>9.7000000000000003E-2</v>
      </c>
      <c r="F14" s="8">
        <v>9.0999999999999998E-2</v>
      </c>
      <c r="G14" s="18">
        <f t="shared" si="1"/>
        <v>-0.55460683890302509</v>
      </c>
    </row>
    <row r="15" spans="1:22" x14ac:dyDescent="0.3">
      <c r="A15" s="7">
        <v>100000</v>
      </c>
      <c r="B15" s="7">
        <v>1</v>
      </c>
      <c r="C15" s="7">
        <v>1</v>
      </c>
      <c r="D15" s="7">
        <f t="shared" si="0"/>
        <v>1</v>
      </c>
      <c r="E15" s="7">
        <v>0.1</v>
      </c>
      <c r="F15" s="8">
        <v>0.10100000000000001</v>
      </c>
      <c r="G15" s="18">
        <f t="shared" si="1"/>
        <v>8.6427475652851568E-2</v>
      </c>
    </row>
    <row r="16" spans="1:22" x14ac:dyDescent="0.3">
      <c r="A16" s="7">
        <v>300000</v>
      </c>
      <c r="B16" s="7">
        <v>1</v>
      </c>
      <c r="C16" s="7">
        <v>1</v>
      </c>
      <c r="D16" s="7">
        <f t="shared" si="0"/>
        <v>1</v>
      </c>
      <c r="E16" s="7">
        <v>0.10100000000000001</v>
      </c>
      <c r="F16" s="8">
        <v>9.4E-2</v>
      </c>
      <c r="G16" s="18">
        <f t="shared" si="1"/>
        <v>-0.62387040365887891</v>
      </c>
    </row>
    <row r="17" spans="1:7" x14ac:dyDescent="0.3">
      <c r="A17" s="7">
        <v>1000000</v>
      </c>
      <c r="B17" s="7">
        <v>1</v>
      </c>
      <c r="C17" s="7">
        <v>1</v>
      </c>
      <c r="D17" s="7">
        <f t="shared" si="0"/>
        <v>1</v>
      </c>
      <c r="E17" s="7">
        <v>0.10100000000000001</v>
      </c>
      <c r="F17" s="8">
        <v>8.2000000000000003E-2</v>
      </c>
      <c r="G17" s="18">
        <f t="shared" si="1"/>
        <v>-1.8101504279785183</v>
      </c>
    </row>
    <row r="18" spans="1:7" x14ac:dyDescent="0.3">
      <c r="A18" s="7">
        <v>10000000</v>
      </c>
      <c r="B18" s="7">
        <v>1</v>
      </c>
      <c r="C18" s="7">
        <v>1</v>
      </c>
      <c r="D18" s="7">
        <f t="shared" si="0"/>
        <v>1</v>
      </c>
      <c r="E18" s="7">
        <v>0.09</v>
      </c>
      <c r="F18" s="8">
        <v>3.3E-3</v>
      </c>
      <c r="G18" s="18">
        <f t="shared" si="1"/>
        <v>-28.714571391228748</v>
      </c>
    </row>
    <row r="19" spans="1:7" x14ac:dyDescent="0.3">
      <c r="A19" s="7">
        <v>1</v>
      </c>
      <c r="B19" s="7">
        <v>1</v>
      </c>
      <c r="C19" s="7">
        <v>10</v>
      </c>
      <c r="D19" s="7">
        <f t="shared" si="0"/>
        <v>10</v>
      </c>
      <c r="E19" s="7">
        <v>8.7999999999999995E-2</v>
      </c>
      <c r="F19" s="8">
        <v>0.94</v>
      </c>
      <c r="G19" s="18">
        <f t="shared" si="1"/>
        <v>20.572903628990602</v>
      </c>
    </row>
    <row r="20" spans="1:7" x14ac:dyDescent="0.3">
      <c r="A20" s="7">
        <v>3</v>
      </c>
      <c r="B20" s="7">
        <v>1</v>
      </c>
      <c r="C20" s="7">
        <v>10</v>
      </c>
      <c r="D20" s="7">
        <f t="shared" si="0"/>
        <v>10</v>
      </c>
      <c r="E20" s="7">
        <v>8.7999999999999995E-2</v>
      </c>
      <c r="F20" s="8">
        <v>0.94299999999999995</v>
      </c>
      <c r="G20" s="18">
        <f t="shared" si="1"/>
        <v>20.600580411743195</v>
      </c>
    </row>
    <row r="21" spans="1:7" x14ac:dyDescent="0.3">
      <c r="A21" s="7">
        <v>10</v>
      </c>
      <c r="B21" s="7">
        <v>1</v>
      </c>
      <c r="C21" s="7">
        <v>10</v>
      </c>
      <c r="D21" s="7">
        <f t="shared" si="0"/>
        <v>10</v>
      </c>
      <c r="E21" s="7">
        <v>8.6999999999999994E-2</v>
      </c>
      <c r="F21" s="8">
        <v>0.93300000000000005</v>
      </c>
      <c r="G21" s="18">
        <f t="shared" si="1"/>
        <v>20.607247822557628</v>
      </c>
    </row>
    <row r="22" spans="1:7" x14ac:dyDescent="0.3">
      <c r="A22" s="7">
        <v>30</v>
      </c>
      <c r="B22" s="7">
        <v>1</v>
      </c>
      <c r="C22" s="7">
        <v>10</v>
      </c>
      <c r="D22" s="7">
        <f t="shared" si="0"/>
        <v>10</v>
      </c>
      <c r="E22" s="7">
        <v>8.8999999999999996E-2</v>
      </c>
      <c r="F22" s="8">
        <v>0.94699999999999995</v>
      </c>
      <c r="G22" s="18">
        <f t="shared" si="1"/>
        <v>20.539199447167213</v>
      </c>
    </row>
    <row r="23" spans="1:7" x14ac:dyDescent="0.3">
      <c r="A23" s="7">
        <v>100</v>
      </c>
      <c r="B23" s="7">
        <v>1</v>
      </c>
      <c r="C23" s="7">
        <v>10</v>
      </c>
      <c r="D23" s="7">
        <f t="shared" si="0"/>
        <v>10</v>
      </c>
      <c r="E23" s="7">
        <v>8.7999999999999995E-2</v>
      </c>
      <c r="F23" s="8">
        <v>0.96799999999999997</v>
      </c>
      <c r="G23" s="18">
        <f t="shared" si="1"/>
        <v>20.827853703164504</v>
      </c>
    </row>
    <row r="24" spans="1:7" x14ac:dyDescent="0.3">
      <c r="A24" s="7">
        <v>300</v>
      </c>
      <c r="B24" s="7">
        <v>1</v>
      </c>
      <c r="C24" s="7">
        <v>10</v>
      </c>
      <c r="D24" s="7">
        <f t="shared" si="0"/>
        <v>10</v>
      </c>
      <c r="E24" s="7">
        <v>8.6999999999999994E-2</v>
      </c>
      <c r="F24" s="8">
        <v>0.92400000000000004</v>
      </c>
      <c r="G24" s="18">
        <f t="shared" si="1"/>
        <v>20.523054372029765</v>
      </c>
    </row>
    <row r="25" spans="1:7" x14ac:dyDescent="0.3">
      <c r="A25" s="7">
        <v>1000</v>
      </c>
      <c r="B25" s="7">
        <v>1</v>
      </c>
      <c r="C25" s="7">
        <v>10</v>
      </c>
      <c r="D25" s="7">
        <f t="shared" si="0"/>
        <v>10</v>
      </c>
      <c r="E25" s="7">
        <v>8.7999999999999995E-2</v>
      </c>
      <c r="F25" s="8">
        <v>0.93500000000000005</v>
      </c>
      <c r="G25" s="18">
        <f t="shared" si="1"/>
        <v>20.526578774446985</v>
      </c>
    </row>
    <row r="26" spans="1:7" x14ac:dyDescent="0.3">
      <c r="A26" s="7">
        <v>3000</v>
      </c>
      <c r="B26" s="7">
        <v>1</v>
      </c>
      <c r="C26" s="7">
        <v>10</v>
      </c>
      <c r="D26" s="7">
        <f t="shared" si="0"/>
        <v>10</v>
      </c>
      <c r="E26" s="7">
        <v>8.5000000000000006E-2</v>
      </c>
      <c r="F26" s="8">
        <v>0.94699999999999995</v>
      </c>
      <c r="G26" s="18">
        <f t="shared" si="1"/>
        <v>20.938621065779614</v>
      </c>
    </row>
    <row r="27" spans="1:7" x14ac:dyDescent="0.3">
      <c r="A27" s="7">
        <v>10000</v>
      </c>
      <c r="B27" s="7">
        <v>1</v>
      </c>
      <c r="C27" s="7">
        <v>10</v>
      </c>
      <c r="D27" s="7">
        <f t="shared" si="0"/>
        <v>10</v>
      </c>
      <c r="E27" s="7">
        <v>8.7999999999999995E-2</v>
      </c>
      <c r="F27" s="8">
        <v>0.94199999999999995</v>
      </c>
      <c r="G27" s="18">
        <f t="shared" si="1"/>
        <v>20.591364612854175</v>
      </c>
    </row>
    <row r="28" spans="1:7" x14ac:dyDescent="0.3">
      <c r="A28" s="7">
        <v>30000</v>
      </c>
      <c r="B28" s="7">
        <v>1</v>
      </c>
      <c r="C28" s="7">
        <v>10</v>
      </c>
      <c r="D28" s="7">
        <f t="shared" si="0"/>
        <v>10</v>
      </c>
      <c r="E28" s="7">
        <v>8.8999999999999996E-2</v>
      </c>
      <c r="F28" s="8">
        <v>0.92200000000000004</v>
      </c>
      <c r="G28" s="18">
        <f>IF(OR(F28="",F28=0),"-",20*LOG10(F28/E28))</f>
        <v>20.306818288174334</v>
      </c>
    </row>
    <row r="29" spans="1:7" x14ac:dyDescent="0.3">
      <c r="A29" s="7">
        <v>100000</v>
      </c>
      <c r="B29" s="7">
        <v>1</v>
      </c>
      <c r="C29" s="7">
        <v>10</v>
      </c>
      <c r="D29" s="7">
        <f t="shared" si="0"/>
        <v>10</v>
      </c>
      <c r="E29" s="7">
        <v>0.09</v>
      </c>
      <c r="F29" s="8">
        <v>0.87</v>
      </c>
      <c r="G29" s="18">
        <f t="shared" si="1"/>
        <v>19.705534863585875</v>
      </c>
    </row>
    <row r="30" spans="1:7" x14ac:dyDescent="0.3">
      <c r="A30" s="7">
        <v>300000</v>
      </c>
      <c r="B30" s="7">
        <v>1</v>
      </c>
      <c r="C30" s="7">
        <v>10</v>
      </c>
      <c r="D30" s="7">
        <f t="shared" si="0"/>
        <v>10</v>
      </c>
      <c r="E30" s="7">
        <v>9.6000000000000002E-2</v>
      </c>
      <c r="F30" s="8">
        <v>0.55600000000000005</v>
      </c>
      <c r="G30" s="18">
        <f t="shared" si="1"/>
        <v>15.256071170849781</v>
      </c>
    </row>
    <row r="31" spans="1:7" x14ac:dyDescent="0.3">
      <c r="A31" s="7">
        <v>1000000</v>
      </c>
      <c r="B31" s="7">
        <v>1</v>
      </c>
      <c r="C31" s="7">
        <v>10</v>
      </c>
      <c r="D31" s="7">
        <f t="shared" si="0"/>
        <v>10</v>
      </c>
      <c r="E31" s="7">
        <v>9.6000000000000002E-2</v>
      </c>
      <c r="F31" s="8">
        <v>0.18</v>
      </c>
      <c r="G31" s="18">
        <f t="shared" si="1"/>
        <v>5.4600254412747526</v>
      </c>
    </row>
    <row r="32" spans="1:7" x14ac:dyDescent="0.3">
      <c r="A32" s="11">
        <v>10000000</v>
      </c>
      <c r="B32" s="11">
        <v>1</v>
      </c>
      <c r="C32" s="11">
        <v>10</v>
      </c>
      <c r="D32" s="11">
        <f t="shared" si="0"/>
        <v>10</v>
      </c>
      <c r="E32" s="11">
        <v>9.1999999999999998E-2</v>
      </c>
      <c r="F32" s="12">
        <v>1.2E-2</v>
      </c>
      <c r="G32" s="19">
        <f>IF(OR(F32="",F32=0),"-",20*LOG10(F32/E32))</f>
        <v>-17.692131625958609</v>
      </c>
    </row>
    <row r="34" spans="1:1" x14ac:dyDescent="0.3">
      <c r="A34" s="1" t="s">
        <v>10</v>
      </c>
    </row>
    <row r="35" spans="1:1" x14ac:dyDescent="0.3">
      <c r="A35" s="1" t="s">
        <v>21</v>
      </c>
    </row>
    <row r="59" spans="1:7" x14ac:dyDescent="0.3">
      <c r="A59" s="2" t="s">
        <v>8</v>
      </c>
      <c r="G59" s="3" t="s">
        <v>9</v>
      </c>
    </row>
    <row r="61" spans="1:7" x14ac:dyDescent="0.3">
      <c r="A61" s="5" t="s">
        <v>1</v>
      </c>
      <c r="B61" s="5" t="s">
        <v>4</v>
      </c>
      <c r="C61" s="5" t="s">
        <v>5</v>
      </c>
      <c r="D61" s="5" t="s">
        <v>6</v>
      </c>
      <c r="E61" s="5" t="s">
        <v>2</v>
      </c>
      <c r="F61" s="5" t="s">
        <v>3</v>
      </c>
      <c r="G61" s="5" t="s">
        <v>19</v>
      </c>
    </row>
    <row r="62" spans="1:7" x14ac:dyDescent="0.3">
      <c r="A62" s="7">
        <v>1</v>
      </c>
      <c r="B62" s="7">
        <v>1</v>
      </c>
      <c r="C62" s="7">
        <v>1</v>
      </c>
      <c r="D62" s="7">
        <f>C62/B62</f>
        <v>1</v>
      </c>
      <c r="E62" s="7">
        <v>0.1</v>
      </c>
      <c r="F62" s="8">
        <v>0.193</v>
      </c>
      <c r="G62" s="9">
        <f>IF(OR(F62="",F62=0),"-",20*LOG10(F62/E62))</f>
        <v>5.7111461801554757</v>
      </c>
    </row>
    <row r="63" spans="1:7" x14ac:dyDescent="0.3">
      <c r="A63" s="7">
        <v>3</v>
      </c>
      <c r="B63" s="7">
        <v>1</v>
      </c>
      <c r="C63" s="7">
        <v>1</v>
      </c>
      <c r="D63" s="7">
        <f t="shared" ref="D63:D89" si="2">C63/B63</f>
        <v>1</v>
      </c>
      <c r="E63" s="7">
        <v>0.10199999999999999</v>
      </c>
      <c r="F63" s="8">
        <v>0.19500000000000001</v>
      </c>
      <c r="G63" s="9">
        <f>IF(OR(F63="",F63=0),"-",20*LOG10(F63/E63))</f>
        <v>5.6286887920120101</v>
      </c>
    </row>
    <row r="64" spans="1:7" x14ac:dyDescent="0.3">
      <c r="A64" s="7">
        <v>10</v>
      </c>
      <c r="B64" s="7">
        <v>1</v>
      </c>
      <c r="C64" s="7">
        <v>1</v>
      </c>
      <c r="D64" s="7">
        <f t="shared" si="2"/>
        <v>1</v>
      </c>
      <c r="E64" s="7">
        <v>0.10199999999999999</v>
      </c>
      <c r="F64" s="8">
        <v>0.19500000000000001</v>
      </c>
      <c r="G64" s="9">
        <f t="shared" ref="G64:G89" si="3">IF(OR(F64="",F64=0),"-",20*LOG10(F64/E64))</f>
        <v>5.6286887920120101</v>
      </c>
    </row>
    <row r="65" spans="1:7" x14ac:dyDescent="0.3">
      <c r="A65" s="7">
        <v>30</v>
      </c>
      <c r="B65" s="7">
        <v>1</v>
      </c>
      <c r="C65" s="7">
        <v>1</v>
      </c>
      <c r="D65" s="7">
        <f t="shared" si="2"/>
        <v>1</v>
      </c>
      <c r="E65" s="7">
        <v>0.10199999999999999</v>
      </c>
      <c r="F65" s="8">
        <v>0.19600000000000001</v>
      </c>
      <c r="G65" s="9">
        <f t="shared" si="3"/>
        <v>5.6731179918911714</v>
      </c>
    </row>
    <row r="66" spans="1:7" x14ac:dyDescent="0.3">
      <c r="A66" s="7">
        <v>100</v>
      </c>
      <c r="B66" s="7">
        <v>1</v>
      </c>
      <c r="C66" s="7">
        <v>1</v>
      </c>
      <c r="D66" s="7">
        <f t="shared" si="2"/>
        <v>1</v>
      </c>
      <c r="E66" s="7">
        <v>0.10199999999999999</v>
      </c>
      <c r="F66" s="8">
        <v>0.19600000000000001</v>
      </c>
      <c r="G66" s="9">
        <f t="shared" si="3"/>
        <v>5.6731179918911714</v>
      </c>
    </row>
    <row r="67" spans="1:7" x14ac:dyDescent="0.3">
      <c r="A67" s="7">
        <v>300</v>
      </c>
      <c r="B67" s="7">
        <v>1</v>
      </c>
      <c r="C67" s="7">
        <v>1</v>
      </c>
      <c r="D67" s="7">
        <f t="shared" si="2"/>
        <v>1</v>
      </c>
      <c r="E67" s="7">
        <v>0.10100000000000001</v>
      </c>
      <c r="F67" s="8">
        <v>0.19400000000000001</v>
      </c>
      <c r="G67" s="9">
        <f t="shared" si="3"/>
        <v>5.6696071229516685</v>
      </c>
    </row>
    <row r="68" spans="1:7" x14ac:dyDescent="0.3">
      <c r="A68" s="7">
        <v>1000</v>
      </c>
      <c r="B68" s="7">
        <v>1</v>
      </c>
      <c r="C68" s="7">
        <v>1</v>
      </c>
      <c r="D68" s="7">
        <f t="shared" si="2"/>
        <v>1</v>
      </c>
      <c r="E68" s="7">
        <v>0.1</v>
      </c>
      <c r="F68" s="8">
        <v>0.192</v>
      </c>
      <c r="G68" s="9">
        <f t="shared" si="3"/>
        <v>5.6660245740709918</v>
      </c>
    </row>
    <row r="69" spans="1:7" x14ac:dyDescent="0.3">
      <c r="A69" s="7">
        <v>3000</v>
      </c>
      <c r="B69" s="7">
        <v>1</v>
      </c>
      <c r="C69" s="7">
        <v>1</v>
      </c>
      <c r="D69" s="7">
        <f t="shared" si="2"/>
        <v>1</v>
      </c>
      <c r="E69" s="7">
        <v>0.10100000000000001</v>
      </c>
      <c r="F69" s="8">
        <v>0.19500000000000001</v>
      </c>
      <c r="G69" s="9">
        <f t="shared" si="3"/>
        <v>5.7142647515975087</v>
      </c>
    </row>
    <row r="70" spans="1:7" x14ac:dyDescent="0.3">
      <c r="A70" s="7">
        <v>10000</v>
      </c>
      <c r="B70" s="7">
        <v>1</v>
      </c>
      <c r="C70" s="7">
        <v>1</v>
      </c>
      <c r="D70" s="7">
        <f t="shared" si="2"/>
        <v>1</v>
      </c>
      <c r="E70" s="7">
        <v>0.10199999999999999</v>
      </c>
      <c r="F70" s="8">
        <v>0.19600000000000001</v>
      </c>
      <c r="G70" s="9">
        <f t="shared" si="3"/>
        <v>5.6731179918911714</v>
      </c>
    </row>
    <row r="71" spans="1:7" x14ac:dyDescent="0.3">
      <c r="A71" s="7">
        <v>30000</v>
      </c>
      <c r="B71" s="7">
        <v>1</v>
      </c>
      <c r="C71" s="7">
        <v>1</v>
      </c>
      <c r="D71" s="7">
        <f t="shared" si="2"/>
        <v>1</v>
      </c>
      <c r="E71" s="7">
        <v>0.10100000000000001</v>
      </c>
      <c r="F71" s="8">
        <v>0.192</v>
      </c>
      <c r="G71" s="9">
        <f t="shared" si="3"/>
        <v>5.57959709841814</v>
      </c>
    </row>
    <row r="72" spans="1:7" x14ac:dyDescent="0.3">
      <c r="A72" s="7">
        <v>100000</v>
      </c>
      <c r="B72" s="7">
        <v>1</v>
      </c>
      <c r="C72" s="7">
        <v>1</v>
      </c>
      <c r="D72" s="7">
        <f t="shared" si="2"/>
        <v>1</v>
      </c>
      <c r="E72" s="7">
        <v>0.11</v>
      </c>
      <c r="F72" s="8">
        <v>0.20100000000000001</v>
      </c>
      <c r="G72" s="9">
        <f t="shared" si="3"/>
        <v>5.2360674452452773</v>
      </c>
    </row>
    <row r="73" spans="1:7" x14ac:dyDescent="0.3">
      <c r="A73" s="7">
        <v>300000</v>
      </c>
      <c r="B73" s="7">
        <v>1</v>
      </c>
      <c r="C73" s="7">
        <v>1</v>
      </c>
      <c r="D73" s="7">
        <f t="shared" si="2"/>
        <v>1</v>
      </c>
      <c r="E73" s="7">
        <v>0.107</v>
      </c>
      <c r="F73" s="8">
        <v>0.19700000000000001</v>
      </c>
      <c r="G73" s="9">
        <f t="shared" si="3"/>
        <v>5.3016489695276654</v>
      </c>
    </row>
    <row r="74" spans="1:7" x14ac:dyDescent="0.3">
      <c r="A74" s="7">
        <v>1000000</v>
      </c>
      <c r="B74" s="7">
        <v>1</v>
      </c>
      <c r="C74" s="7">
        <v>1</v>
      </c>
      <c r="D74" s="7">
        <f t="shared" si="2"/>
        <v>1</v>
      </c>
      <c r="E74" s="7">
        <v>0.11600000000000001</v>
      </c>
      <c r="F74" s="8">
        <v>0.17</v>
      </c>
      <c r="G74" s="9">
        <f t="shared" si="3"/>
        <v>3.3198186430271086</v>
      </c>
    </row>
    <row r="75" spans="1:7" x14ac:dyDescent="0.3">
      <c r="A75" s="7">
        <v>10000000</v>
      </c>
      <c r="B75" s="7">
        <v>1</v>
      </c>
      <c r="C75" s="7">
        <v>1</v>
      </c>
      <c r="D75" s="7">
        <f t="shared" si="2"/>
        <v>1</v>
      </c>
      <c r="E75" s="7">
        <v>9.9000000000000005E-2</v>
      </c>
      <c r="F75" s="8">
        <v>2.3E-2</v>
      </c>
      <c r="G75" s="9">
        <f t="shared" si="3"/>
        <v>-12.678147171599141</v>
      </c>
    </row>
    <row r="76" spans="1:7" x14ac:dyDescent="0.3">
      <c r="A76" s="7">
        <v>1</v>
      </c>
      <c r="B76" s="7">
        <v>1</v>
      </c>
      <c r="C76" s="7">
        <v>10</v>
      </c>
      <c r="D76" s="7">
        <f t="shared" si="2"/>
        <v>10</v>
      </c>
      <c r="E76" s="7">
        <v>0.1</v>
      </c>
      <c r="F76" s="8">
        <v>1.06</v>
      </c>
      <c r="G76" s="9">
        <f t="shared" si="3"/>
        <v>20.506117305295405</v>
      </c>
    </row>
    <row r="77" spans="1:7" x14ac:dyDescent="0.3">
      <c r="A77" s="7">
        <v>3</v>
      </c>
      <c r="B77" s="7">
        <v>1</v>
      </c>
      <c r="C77" s="7">
        <v>10</v>
      </c>
      <c r="D77" s="7">
        <f t="shared" si="2"/>
        <v>10</v>
      </c>
      <c r="E77" s="7">
        <v>0.1</v>
      </c>
      <c r="F77" s="8">
        <v>1.06</v>
      </c>
      <c r="G77" s="9">
        <f t="shared" si="3"/>
        <v>20.506117305295405</v>
      </c>
    </row>
    <row r="78" spans="1:7" x14ac:dyDescent="0.3">
      <c r="A78" s="7">
        <v>10</v>
      </c>
      <c r="B78" s="7">
        <v>1</v>
      </c>
      <c r="C78" s="7">
        <v>10</v>
      </c>
      <c r="D78" s="7">
        <f t="shared" si="2"/>
        <v>10</v>
      </c>
      <c r="E78" s="7">
        <v>0.10100000000000001</v>
      </c>
      <c r="F78" s="8">
        <v>1.0760000000000001</v>
      </c>
      <c r="G78" s="9">
        <f t="shared" si="3"/>
        <v>20.549817950954555</v>
      </c>
    </row>
    <row r="79" spans="1:7" x14ac:dyDescent="0.3">
      <c r="A79" s="7">
        <v>30</v>
      </c>
      <c r="B79" s="7">
        <v>1</v>
      </c>
      <c r="C79" s="7">
        <v>10</v>
      </c>
      <c r="D79" s="7">
        <f t="shared" si="2"/>
        <v>10</v>
      </c>
      <c r="E79" s="7">
        <v>0.10100000000000001</v>
      </c>
      <c r="F79" s="8">
        <v>1.075</v>
      </c>
      <c r="G79" s="9">
        <f t="shared" si="3"/>
        <v>20.54174180937963</v>
      </c>
    </row>
    <row r="80" spans="1:7" x14ac:dyDescent="0.3">
      <c r="A80" s="7">
        <v>100</v>
      </c>
      <c r="B80" s="7">
        <v>1</v>
      </c>
      <c r="C80" s="7">
        <v>10</v>
      </c>
      <c r="D80" s="7">
        <f t="shared" si="2"/>
        <v>10</v>
      </c>
      <c r="E80" s="7">
        <v>0.1</v>
      </c>
      <c r="F80" s="8">
        <v>1.0680000000000001</v>
      </c>
      <c r="G80" s="9">
        <f t="shared" si="3"/>
        <v>20.571425053850753</v>
      </c>
    </row>
    <row r="81" spans="1:9" x14ac:dyDescent="0.3">
      <c r="A81" s="7">
        <v>300</v>
      </c>
      <c r="B81" s="7">
        <v>1</v>
      </c>
      <c r="C81" s="7">
        <v>10</v>
      </c>
      <c r="D81" s="7">
        <f t="shared" si="2"/>
        <v>10</v>
      </c>
      <c r="E81" s="7">
        <v>9.8000000000000004E-2</v>
      </c>
      <c r="F81" s="8">
        <v>1.0509999999999999</v>
      </c>
      <c r="G81" s="9">
        <f t="shared" si="3"/>
        <v>20.607532806714946</v>
      </c>
    </row>
    <row r="82" spans="1:9" x14ac:dyDescent="0.3">
      <c r="A82" s="7">
        <v>1000</v>
      </c>
      <c r="B82" s="7">
        <v>1</v>
      </c>
      <c r="C82" s="7">
        <v>10</v>
      </c>
      <c r="D82" s="7">
        <f t="shared" si="2"/>
        <v>10</v>
      </c>
      <c r="E82" s="7">
        <v>0.1</v>
      </c>
      <c r="F82" s="8">
        <v>1.056</v>
      </c>
      <c r="G82" s="9">
        <f t="shared" si="3"/>
        <v>20.47327836395587</v>
      </c>
    </row>
    <row r="83" spans="1:9" x14ac:dyDescent="0.3">
      <c r="A83" s="7">
        <v>3000</v>
      </c>
      <c r="B83" s="7">
        <v>1</v>
      </c>
      <c r="C83" s="7">
        <v>10</v>
      </c>
      <c r="D83" s="7">
        <f t="shared" si="2"/>
        <v>10</v>
      </c>
      <c r="E83" s="7">
        <v>9.9000000000000005E-2</v>
      </c>
      <c r="F83" s="8">
        <v>1.0589999999999999</v>
      </c>
      <c r="G83" s="9">
        <f t="shared" si="3"/>
        <v>20.585215310198702</v>
      </c>
    </row>
    <row r="84" spans="1:9" x14ac:dyDescent="0.3">
      <c r="A84" s="7">
        <v>10000</v>
      </c>
      <c r="B84" s="7">
        <v>1</v>
      </c>
      <c r="C84" s="7">
        <v>10</v>
      </c>
      <c r="D84" s="7">
        <f t="shared" si="2"/>
        <v>10</v>
      </c>
      <c r="E84" s="7">
        <v>0.10100000000000001</v>
      </c>
      <c r="F84" s="8">
        <v>1.0669999999999999</v>
      </c>
      <c r="G84" s="9">
        <f t="shared" si="3"/>
        <v>20.476860912836546</v>
      </c>
    </row>
    <row r="85" spans="1:9" x14ac:dyDescent="0.3">
      <c r="A85" s="7">
        <v>30000</v>
      </c>
      <c r="B85" s="7">
        <v>1</v>
      </c>
      <c r="C85" s="7">
        <v>10</v>
      </c>
      <c r="D85" s="7">
        <f t="shared" si="2"/>
        <v>10</v>
      </c>
      <c r="E85" s="7">
        <v>0.10199999999999999</v>
      </c>
      <c r="F85" s="8">
        <v>1.048</v>
      </c>
      <c r="G85" s="9">
        <f t="shared" si="3"/>
        <v>20.235222217715805</v>
      </c>
    </row>
    <row r="86" spans="1:9" x14ac:dyDescent="0.3">
      <c r="A86" s="7">
        <v>100000</v>
      </c>
      <c r="B86" s="7">
        <v>1</v>
      </c>
      <c r="C86" s="7">
        <v>10</v>
      </c>
      <c r="D86" s="7">
        <f t="shared" si="2"/>
        <v>10</v>
      </c>
      <c r="E86" s="7">
        <v>0.108</v>
      </c>
      <c r="F86" s="8">
        <v>0.98</v>
      </c>
      <c r="G86" s="9">
        <f t="shared" si="3"/>
        <v>19.156046404110903</v>
      </c>
    </row>
    <row r="87" spans="1:9" x14ac:dyDescent="0.3">
      <c r="A87" s="7">
        <v>300000</v>
      </c>
      <c r="B87" s="7">
        <v>1</v>
      </c>
      <c r="C87" s="7">
        <v>10</v>
      </c>
      <c r="D87" s="7">
        <f t="shared" si="2"/>
        <v>10</v>
      </c>
      <c r="E87" s="7">
        <v>0.106</v>
      </c>
      <c r="F87" s="8">
        <v>0.60699999999999998</v>
      </c>
      <c r="G87" s="9">
        <f t="shared" si="3"/>
        <v>15.157656516209748</v>
      </c>
    </row>
    <row r="88" spans="1:9" x14ac:dyDescent="0.3">
      <c r="A88" s="7">
        <v>1000000</v>
      </c>
      <c r="B88" s="7">
        <v>1</v>
      </c>
      <c r="C88" s="7">
        <v>10</v>
      </c>
      <c r="D88" s="7">
        <f t="shared" si="2"/>
        <v>10</v>
      </c>
      <c r="E88" s="7">
        <v>0.105</v>
      </c>
      <c r="F88" s="8">
        <v>0.188</v>
      </c>
      <c r="G88" s="9">
        <f t="shared" si="3"/>
        <v>5.0593710038748361</v>
      </c>
    </row>
    <row r="89" spans="1:9" x14ac:dyDescent="0.3">
      <c r="A89" s="11">
        <v>10000000</v>
      </c>
      <c r="B89" s="11">
        <v>1</v>
      </c>
      <c r="C89" s="11">
        <v>10</v>
      </c>
      <c r="D89" s="11">
        <f t="shared" si="2"/>
        <v>10</v>
      </c>
      <c r="E89" s="11">
        <v>0.11799999999999999</v>
      </c>
      <c r="F89" s="12">
        <v>3.7999999999999999E-2</v>
      </c>
      <c r="G89" s="13">
        <f t="shared" si="3"/>
        <v>-9.8419682137863038</v>
      </c>
    </row>
    <row r="93" spans="1:9" x14ac:dyDescent="0.3">
      <c r="A93" s="15"/>
      <c r="B93" s="14"/>
      <c r="C93" s="14"/>
      <c r="D93" s="14"/>
      <c r="E93" s="16"/>
      <c r="F93" s="14"/>
      <c r="G93" s="14"/>
      <c r="H93" s="14"/>
      <c r="I93" s="14"/>
    </row>
    <row r="94" spans="1:9" x14ac:dyDescent="0.3">
      <c r="A94" s="15"/>
      <c r="B94" s="17"/>
      <c r="C94" s="17"/>
      <c r="D94" s="17"/>
      <c r="E94" s="17"/>
      <c r="F94" s="14"/>
      <c r="G94" s="14"/>
      <c r="H94" s="14"/>
      <c r="I94" s="14"/>
    </row>
    <row r="95" spans="1:9" x14ac:dyDescent="0.3">
      <c r="A95" s="15"/>
      <c r="B95" s="17"/>
      <c r="C95" s="17"/>
      <c r="D95" s="17"/>
      <c r="E95" s="17"/>
      <c r="F95" s="14"/>
      <c r="G95" s="14"/>
      <c r="H95" s="14"/>
      <c r="I95" s="14"/>
    </row>
    <row r="96" spans="1:9" x14ac:dyDescent="0.3">
      <c r="A96" s="15"/>
      <c r="B96" s="14"/>
      <c r="C96" s="14"/>
      <c r="D96" s="14"/>
      <c r="E96" s="16"/>
      <c r="F96" s="14"/>
      <c r="G96" s="14"/>
      <c r="H96" s="14"/>
      <c r="I96" s="14"/>
    </row>
    <row r="97" spans="1:9" x14ac:dyDescent="0.3">
      <c r="A97" s="14"/>
      <c r="B97" s="14"/>
      <c r="C97" s="14"/>
      <c r="D97" s="14"/>
      <c r="E97" s="14"/>
      <c r="F97" s="14"/>
      <c r="G97" s="14"/>
      <c r="H97" s="14"/>
      <c r="I97" s="14"/>
    </row>
    <row r="98" spans="1:9" x14ac:dyDescent="0.3">
      <c r="A98" s="15"/>
      <c r="B98" s="21"/>
      <c r="C98" s="21"/>
      <c r="D98" s="14"/>
      <c r="E98" s="20"/>
      <c r="F98" s="20"/>
      <c r="G98" s="20"/>
    </row>
    <row r="99" spans="1:9" x14ac:dyDescent="0.3">
      <c r="A99" s="15"/>
      <c r="B99" s="22"/>
      <c r="C99" s="22"/>
      <c r="D99" s="22"/>
      <c r="E99" s="17"/>
      <c r="F99" s="14"/>
      <c r="G99" s="14"/>
    </row>
    <row r="100" spans="1:9" x14ac:dyDescent="0.3">
      <c r="A100" s="15"/>
      <c r="B100" s="22"/>
      <c r="C100" s="22"/>
      <c r="D100" s="22"/>
      <c r="E100" s="17"/>
      <c r="F100" s="14"/>
      <c r="G100" s="14"/>
    </row>
    <row r="101" spans="1:9" x14ac:dyDescent="0.3">
      <c r="A101" s="14"/>
      <c r="B101" s="14"/>
      <c r="C101" s="14"/>
      <c r="D101" s="14"/>
      <c r="E101" s="14"/>
      <c r="F101" s="14"/>
      <c r="G101" s="14"/>
    </row>
    <row r="102" spans="1:9" x14ac:dyDescent="0.3">
      <c r="A102" s="14"/>
      <c r="B102" s="15"/>
      <c r="C102" s="14"/>
      <c r="D102" s="14"/>
      <c r="E102" s="14"/>
      <c r="F102" s="14"/>
      <c r="G102" s="14"/>
    </row>
    <row r="103" spans="1:9" x14ac:dyDescent="0.3">
      <c r="A103" s="14"/>
      <c r="B103" s="17"/>
      <c r="C103" s="14"/>
      <c r="D103" s="14"/>
      <c r="E103" s="14"/>
      <c r="F103" s="14"/>
      <c r="G103" s="14"/>
    </row>
    <row r="104" spans="1:9" x14ac:dyDescent="0.3">
      <c r="A104" s="14"/>
      <c r="B104" s="17"/>
      <c r="C104" s="14"/>
      <c r="D104" s="14"/>
      <c r="E104" s="14"/>
      <c r="F104" s="14"/>
      <c r="G104" s="14"/>
    </row>
    <row r="105" spans="1:9" x14ac:dyDescent="0.3">
      <c r="A105" s="14"/>
      <c r="B105" s="14"/>
      <c r="C105" s="14"/>
      <c r="D105" s="14"/>
      <c r="E105" s="14"/>
      <c r="F105" s="14"/>
      <c r="G105" s="14"/>
    </row>
    <row r="106" spans="1:9" x14ac:dyDescent="0.3">
      <c r="A106" s="14"/>
      <c r="B106" s="14"/>
      <c r="C106" s="14"/>
      <c r="D106" s="14"/>
      <c r="E106" s="14"/>
      <c r="F106" s="14"/>
      <c r="G106" s="14"/>
    </row>
    <row r="107" spans="1:9" x14ac:dyDescent="0.3">
      <c r="A107" s="14"/>
      <c r="B107" s="15"/>
      <c r="C107" s="14"/>
      <c r="D107" s="14"/>
      <c r="E107" s="14"/>
      <c r="F107" s="14"/>
      <c r="G107" s="14"/>
    </row>
    <row r="108" spans="1:9" x14ac:dyDescent="0.3">
      <c r="A108" s="14"/>
      <c r="B108" s="17"/>
      <c r="C108" s="14"/>
      <c r="D108" s="14"/>
      <c r="E108" s="14"/>
      <c r="F108" s="14"/>
      <c r="G108" s="14"/>
    </row>
    <row r="109" spans="1:9" x14ac:dyDescent="0.3">
      <c r="A109" s="14"/>
      <c r="B109" s="17"/>
      <c r="C109" s="14"/>
      <c r="D109" s="14"/>
      <c r="E109" s="14"/>
      <c r="F109" s="14"/>
      <c r="G109" s="14"/>
    </row>
    <row r="110" spans="1:9" x14ac:dyDescent="0.3">
      <c r="A110" s="14"/>
      <c r="B110" s="14"/>
      <c r="C110" s="14"/>
      <c r="D110" s="14"/>
      <c r="E110" s="14"/>
      <c r="F110" s="14"/>
      <c r="G110" s="14"/>
    </row>
    <row r="111" spans="1:9" x14ac:dyDescent="0.3">
      <c r="A111" s="14"/>
      <c r="B111" s="14"/>
      <c r="C111" s="14"/>
      <c r="D111" s="14"/>
      <c r="E111" s="14"/>
      <c r="F111" s="14"/>
      <c r="G111" s="14"/>
    </row>
    <row r="112" spans="1:9" x14ac:dyDescent="0.3">
      <c r="A112" s="14"/>
      <c r="B112" s="15"/>
      <c r="C112" s="14"/>
      <c r="D112" s="14"/>
      <c r="E112" s="14"/>
      <c r="F112" s="14"/>
      <c r="G112" s="14"/>
    </row>
    <row r="113" spans="1:7" x14ac:dyDescent="0.3">
      <c r="A113" s="14"/>
      <c r="B113" s="17"/>
      <c r="C113" s="14"/>
      <c r="D113" s="14"/>
      <c r="E113" s="14"/>
      <c r="F113" s="14"/>
      <c r="G113" s="14"/>
    </row>
    <row r="114" spans="1:7" x14ac:dyDescent="0.3">
      <c r="A114" s="14"/>
      <c r="B114" s="17"/>
      <c r="C114" s="14"/>
      <c r="D114" s="14"/>
      <c r="E114" s="14"/>
      <c r="F114" s="14"/>
      <c r="G114" s="14"/>
    </row>
    <row r="115" spans="1:7" x14ac:dyDescent="0.3">
      <c r="A115" s="14"/>
      <c r="B115" s="14"/>
      <c r="C115" s="14"/>
      <c r="D115" s="14"/>
      <c r="E115" s="14"/>
      <c r="F115" s="14"/>
      <c r="G115" s="14"/>
    </row>
  </sheetData>
  <mergeCells count="3">
    <mergeCell ref="B99:D99"/>
    <mergeCell ref="B100:D100"/>
    <mergeCell ref="E98:G98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Heller (s)</dc:creator>
  <cp:lastModifiedBy>Anna Ilic (s)</cp:lastModifiedBy>
  <dcterms:created xsi:type="dcterms:W3CDTF">2025-11-30T10:00:33Z</dcterms:created>
  <dcterms:modified xsi:type="dcterms:W3CDTF">2025-12-01T18:45:06Z</dcterms:modified>
</cp:coreProperties>
</file>